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nova/Developer/Delphos-core/dataset/catalogue/"/>
    </mc:Choice>
  </mc:AlternateContent>
  <xr:revisionPtr revIDLastSave="0" documentId="13_ncr:1_{D956F904-9184-8E4F-9D03-C19F079BB91C}" xr6:coauthVersionLast="47" xr6:coauthVersionMax="47" xr10:uidLastSave="{00000000-0000-0000-0000-000000000000}"/>
  <bookViews>
    <workbookView minimized="1" xWindow="7760" yWindow="640" windowWidth="29820" windowHeight="2100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8" i="3" l="1"/>
  <c r="W19" i="3"/>
  <c r="W9" i="3"/>
  <c r="W7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8" i="3"/>
  <c r="W17" i="3"/>
  <c r="W16" i="3"/>
  <c r="W15" i="3"/>
  <c r="W14" i="3"/>
  <c r="W13" i="3"/>
  <c r="W12" i="3"/>
  <c r="W11" i="3"/>
  <c r="W10" i="3"/>
  <c r="W8" i="3"/>
  <c r="W6" i="3"/>
  <c r="W5" i="3"/>
</calcChain>
</file>

<file path=xl/sharedStrings.xml><?xml version="1.0" encoding="utf-8"?>
<sst xmlns="http://schemas.openxmlformats.org/spreadsheetml/2006/main" count="151" uniqueCount="105">
  <si>
    <t>seat_availability</t>
  </si>
  <si>
    <t>interchanges</t>
  </si>
  <si>
    <t>headway_time</t>
  </si>
  <si>
    <t>service_quality</t>
  </si>
  <si>
    <t>access_time</t>
  </si>
  <si>
    <t>travel_cost</t>
  </si>
  <si>
    <t>travel_time</t>
  </si>
  <si>
    <t>Type</t>
  </si>
  <si>
    <t>Name</t>
  </si>
  <si>
    <t>education</t>
  </si>
  <si>
    <t>purpose</t>
  </si>
  <si>
    <t>age</t>
  </si>
  <si>
    <t>luggage</t>
  </si>
  <si>
    <t>gender</t>
  </si>
  <si>
    <t>DB 1</t>
  </si>
  <si>
    <t>DB 2</t>
  </si>
  <si>
    <t>DB 3</t>
  </si>
  <si>
    <t>DB 4</t>
  </si>
  <si>
    <t>DB 5</t>
  </si>
  <si>
    <t>DB 6</t>
  </si>
  <si>
    <t>traffic variability</t>
  </si>
  <si>
    <t>DB 7</t>
  </si>
  <si>
    <t>DB 8</t>
  </si>
  <si>
    <t>DB9</t>
  </si>
  <si>
    <t>2019_apollo_modechoice</t>
  </si>
  <si>
    <t>2018_apollo_routechoice</t>
  </si>
  <si>
    <t>2020_decisions</t>
  </si>
  <si>
    <t>2001_swissmetro</t>
  </si>
  <si>
    <t>1987_netherlands_modechoice</t>
  </si>
  <si>
    <t>2009_norway_vtt</t>
  </si>
  <si>
    <t>2013_Arentze</t>
  </si>
  <si>
    <t>2014_spain_parkingchoice</t>
  </si>
  <si>
    <t>2018_london_modechoice</t>
  </si>
  <si>
    <t>2018_optima_modechoice</t>
  </si>
  <si>
    <t>2019_vanCranenburgh_vot</t>
  </si>
  <si>
    <t>DB 10</t>
  </si>
  <si>
    <t>DB 11</t>
  </si>
  <si>
    <t>female</t>
  </si>
  <si>
    <t>business</t>
  </si>
  <si>
    <t>income</t>
  </si>
  <si>
    <t>income (persona)</t>
  </si>
  <si>
    <t>income (hh)</t>
  </si>
  <si>
    <t>commute</t>
  </si>
  <si>
    <t>shopping</t>
  </si>
  <si>
    <t>leisure</t>
  </si>
  <si>
    <t>hh_sise</t>
  </si>
  <si>
    <t>Occupation</t>
  </si>
  <si>
    <t>business
first</t>
  </si>
  <si>
    <t>who</t>
  </si>
  <si>
    <t>egress_time</t>
  </si>
  <si>
    <t>parking search time</t>
  </si>
  <si>
    <t>arrival time
flex</t>
  </si>
  <si>
    <t>with</t>
  </si>
  <si>
    <t>wather</t>
  </si>
  <si>
    <t>resident</t>
  </si>
  <si>
    <t>driving license</t>
  </si>
  <si>
    <t>waiting_time</t>
  </si>
  <si>
    <t>ownhouse</t>
  </si>
  <si>
    <t>ga
seasonal ticket</t>
  </si>
  <si>
    <t>purpose
DestAct</t>
  </si>
  <si>
    <t>car_availability 
n_car
NbCar</t>
  </si>
  <si>
    <t>Social Class</t>
  </si>
  <si>
    <t>DB 13</t>
  </si>
  <si>
    <t>DB 14</t>
  </si>
  <si>
    <t>DB 15</t>
  </si>
  <si>
    <t>DB 16</t>
  </si>
  <si>
    <t>DB 18</t>
  </si>
  <si>
    <t>DB 19</t>
  </si>
  <si>
    <t>DB 20</t>
  </si>
  <si>
    <t>Total</t>
  </si>
  <si>
    <t>Attribute schema</t>
  </si>
  <si>
    <t>In-vehicule time</t>
  </si>
  <si>
    <t>Travel cost</t>
  </si>
  <si>
    <t>Out-of-vehicule time</t>
  </si>
  <si>
    <t>IVT</t>
  </si>
  <si>
    <t>CT</t>
  </si>
  <si>
    <t>OVT</t>
  </si>
  <si>
    <t>Service quality</t>
  </si>
  <si>
    <t>egress, walking, waiting, searching, headway</t>
  </si>
  <si>
    <t>TC</t>
  </si>
  <si>
    <t>SQ</t>
  </si>
  <si>
    <t>Transfer</t>
  </si>
  <si>
    <t>TRA</t>
  </si>
  <si>
    <t>Reliability</t>
  </si>
  <si>
    <t>REL</t>
  </si>
  <si>
    <t>possible traffic variability, delay</t>
  </si>
  <si>
    <t>service quality, seat availability, comfort</t>
  </si>
  <si>
    <t>travel_cost, fee, fare, parking fee</t>
  </si>
  <si>
    <t>transfer_time, interchanges</t>
  </si>
  <si>
    <t>travel_time, next_pt_time</t>
  </si>
  <si>
    <t>by default income persona |otherwise income hh</t>
  </si>
  <si>
    <t>car</t>
  </si>
  <si>
    <t>n_car, car_availability, driving license</t>
  </si>
  <si>
    <t>Education by default | occupation otherwise</t>
  </si>
  <si>
    <t>Index</t>
  </si>
  <si>
    <t>female, sex, male, gender</t>
  </si>
  <si>
    <t>IVTT</t>
  </si>
  <si>
    <t>OVTT</t>
  </si>
  <si>
    <t>car_access</t>
  </si>
  <si>
    <t>Alternatives</t>
  </si>
  <si>
    <t>training</t>
  </si>
  <si>
    <t>Panel</t>
  </si>
  <si>
    <t>Sample size</t>
  </si>
  <si>
    <t>LL linear</t>
  </si>
  <si>
    <t>LL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</si>
</sst>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3" xfId="0" applyBorder="1" applyAlignment="1">
      <alignment horizontal="center" vertical="center"/>
    </xf>
    <xf numFmtId="0" fontId="0" fillId="0" borderId="0" xfId="0" quotePrefix="1"/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 wrapText="1"/>
    </xf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19A5-7FCD-3C4C-A399-7407B8041262}">
  <dimension ref="C3:AS38"/>
  <sheetViews>
    <sheetView tabSelected="1" topLeftCell="AG1" zoomScale="150" zoomScaleNormal="150" workbookViewId="0">
      <selection activeCell="AV4" sqref="AV4"/>
    </sheetView>
  </sheetViews>
  <sheetFormatPr baseColWidth="10" defaultRowHeight="15" x14ac:dyDescent="0.2"/>
  <cols>
    <col min="3" max="3" width="15.83203125" bestFit="1" customWidth="1"/>
    <col min="4" max="12" width="4.6640625" bestFit="1" customWidth="1"/>
    <col min="13" max="13" width="4.33203125" bestFit="1" customWidth="1"/>
    <col min="14" max="15" width="5.6640625" bestFit="1" customWidth="1"/>
    <col min="16" max="22" width="5.6640625" hidden="1" customWidth="1"/>
    <col min="24" max="24" width="14.5" bestFit="1" customWidth="1"/>
    <col min="27" max="27" width="16.83203125" bestFit="1" customWidth="1"/>
    <col min="28" max="28" width="38.83203125" bestFit="1" customWidth="1"/>
    <col min="30" max="30" width="16.83203125" bestFit="1" customWidth="1"/>
    <col min="31" max="31" width="35" bestFit="1" customWidth="1"/>
    <col min="33" max="33" width="2.1640625" bestFit="1" customWidth="1"/>
    <col min="34" max="34" width="10.33203125" bestFit="1" customWidth="1"/>
    <col min="35" max="37" width="8.6640625" bestFit="1" customWidth="1"/>
    <col min="38" max="38" width="9.6640625" bestFit="1" customWidth="1"/>
    <col min="39" max="40" width="8.6640625" bestFit="1" customWidth="1"/>
    <col min="41" max="41" width="10.6640625" bestFit="1" customWidth="1"/>
    <col min="42" max="42" width="8.6640625" bestFit="1" customWidth="1"/>
    <col min="43" max="43" width="7.6640625" bestFit="1" customWidth="1"/>
    <col min="44" max="44" width="9.6640625" bestFit="1" customWidth="1"/>
    <col min="45" max="45" width="8.6640625" bestFit="1" customWidth="1"/>
  </cols>
  <sheetData>
    <row r="3" spans="3:45" ht="154" thickBot="1" x14ac:dyDescent="0.25">
      <c r="C3" s="1"/>
      <c r="D3" s="1"/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/>
      <c r="Q3" s="2"/>
      <c r="R3" s="2"/>
      <c r="S3" s="2"/>
      <c r="T3" s="2"/>
      <c r="U3" s="2"/>
      <c r="V3" s="2"/>
      <c r="AF3" s="1"/>
      <c r="AG3" s="1"/>
      <c r="AI3" s="2" t="s">
        <v>24</v>
      </c>
      <c r="AJ3" s="2" t="s">
        <v>25</v>
      </c>
      <c r="AK3" s="2" t="s">
        <v>28</v>
      </c>
      <c r="AL3" s="2" t="s">
        <v>29</v>
      </c>
      <c r="AM3" s="2" t="s">
        <v>30</v>
      </c>
      <c r="AN3" s="2" t="s">
        <v>31</v>
      </c>
      <c r="AO3" s="2" t="s">
        <v>32</v>
      </c>
      <c r="AP3" s="2" t="s">
        <v>33</v>
      </c>
      <c r="AQ3" s="2" t="s">
        <v>34</v>
      </c>
      <c r="AR3" s="2" t="s">
        <v>26</v>
      </c>
      <c r="AS3" s="2" t="s">
        <v>27</v>
      </c>
    </row>
    <row r="4" spans="3:45" ht="16" thickBot="1" x14ac:dyDescent="0.25">
      <c r="C4" s="6" t="s">
        <v>8</v>
      </c>
      <c r="D4" s="3" t="s">
        <v>7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21</v>
      </c>
      <c r="L4" s="3" t="s">
        <v>22</v>
      </c>
      <c r="M4" s="3" t="s">
        <v>23</v>
      </c>
      <c r="N4" s="3" t="s">
        <v>35</v>
      </c>
      <c r="O4" s="3" t="s">
        <v>36</v>
      </c>
      <c r="P4" s="3" t="s">
        <v>62</v>
      </c>
      <c r="Q4" s="3" t="s">
        <v>63</v>
      </c>
      <c r="R4" s="3" t="s">
        <v>64</v>
      </c>
      <c r="S4" s="3" t="s">
        <v>65</v>
      </c>
      <c r="T4" s="3" t="s">
        <v>66</v>
      </c>
      <c r="U4" s="3" t="s">
        <v>67</v>
      </c>
      <c r="V4" s="3" t="s">
        <v>68</v>
      </c>
      <c r="W4" s="6" t="s">
        <v>69</v>
      </c>
      <c r="Z4" t="s">
        <v>70</v>
      </c>
      <c r="AH4" t="s">
        <v>100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0</v>
      </c>
      <c r="AS4">
        <v>0</v>
      </c>
    </row>
    <row r="5" spans="3:45" x14ac:dyDescent="0.2">
      <c r="C5" s="7" t="s">
        <v>6</v>
      </c>
      <c r="D5" s="1"/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/>
      <c r="M5" s="1">
        <v>1</v>
      </c>
      <c r="N5" s="1">
        <v>1</v>
      </c>
      <c r="O5" s="1">
        <v>1</v>
      </c>
      <c r="W5" s="15">
        <f t="shared" ref="W5:W38" si="0">COUNT(E5:V5)</f>
        <v>10</v>
      </c>
      <c r="X5" t="s">
        <v>74</v>
      </c>
      <c r="Y5" t="s">
        <v>94</v>
      </c>
      <c r="AH5" t="s">
        <v>101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Q5">
        <v>1</v>
      </c>
      <c r="AR5">
        <v>0</v>
      </c>
      <c r="AS5">
        <v>1</v>
      </c>
    </row>
    <row r="6" spans="3:45" ht="16" x14ac:dyDescent="0.2">
      <c r="C6" s="9" t="s">
        <v>5</v>
      </c>
      <c r="D6" s="1"/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W6" s="15">
        <f t="shared" si="0"/>
        <v>11</v>
      </c>
      <c r="X6" t="s">
        <v>75</v>
      </c>
      <c r="Y6">
        <v>1</v>
      </c>
      <c r="Z6" t="s">
        <v>96</v>
      </c>
      <c r="AA6" t="s">
        <v>71</v>
      </c>
      <c r="AB6" t="s">
        <v>89</v>
      </c>
      <c r="AH6" t="s">
        <v>102</v>
      </c>
      <c r="AI6">
        <v>7000</v>
      </c>
      <c r="AJ6">
        <v>3492</v>
      </c>
      <c r="AK6">
        <v>1511</v>
      </c>
      <c r="AL6">
        <v>52488</v>
      </c>
      <c r="AM6">
        <v>6570</v>
      </c>
      <c r="AN6">
        <v>1576</v>
      </c>
      <c r="AO6">
        <v>81086</v>
      </c>
      <c r="AP6">
        <v>1521</v>
      </c>
      <c r="AQ6">
        <v>850</v>
      </c>
      <c r="AR6">
        <v>9356</v>
      </c>
      <c r="AS6">
        <v>5409</v>
      </c>
    </row>
    <row r="7" spans="3:45" x14ac:dyDescent="0.2">
      <c r="C7" s="7" t="s">
        <v>4</v>
      </c>
      <c r="D7" s="1"/>
      <c r="E7" s="1">
        <v>1</v>
      </c>
      <c r="F7" s="1"/>
      <c r="G7" s="1">
        <v>1</v>
      </c>
      <c r="H7" s="1"/>
      <c r="I7" s="1"/>
      <c r="J7" s="1"/>
      <c r="K7" s="1">
        <v>1</v>
      </c>
      <c r="L7" s="1">
        <v>1</v>
      </c>
      <c r="M7" s="1">
        <v>1</v>
      </c>
      <c r="N7" s="1">
        <v>1</v>
      </c>
      <c r="O7" s="1"/>
      <c r="W7" s="15">
        <f t="shared" si="0"/>
        <v>6</v>
      </c>
      <c r="X7" t="s">
        <v>76</v>
      </c>
      <c r="Y7">
        <v>2</v>
      </c>
      <c r="Z7" t="s">
        <v>79</v>
      </c>
      <c r="AA7" t="s">
        <v>72</v>
      </c>
      <c r="AB7" t="s">
        <v>87</v>
      </c>
      <c r="AH7" t="s">
        <v>104</v>
      </c>
      <c r="AI7">
        <v>-8196.02</v>
      </c>
      <c r="AJ7">
        <v>-2420.4699999999998</v>
      </c>
      <c r="AK7">
        <v>-1047.3499999999999</v>
      </c>
      <c r="AL7">
        <v>-36381.9</v>
      </c>
      <c r="AM7">
        <v>-5885.93</v>
      </c>
      <c r="AN7">
        <v>-1731.41</v>
      </c>
      <c r="AO7">
        <v>-112409.06</v>
      </c>
      <c r="AP7">
        <v>-1054.27</v>
      </c>
      <c r="AQ7">
        <v>-966.78</v>
      </c>
      <c r="AR7">
        <v>-11233.44</v>
      </c>
      <c r="AS7">
        <v>-5548.28</v>
      </c>
    </row>
    <row r="8" spans="3:45" ht="16" thickBot="1" x14ac:dyDescent="0.25">
      <c r="C8" s="7" t="s">
        <v>49</v>
      </c>
      <c r="E8" s="1"/>
      <c r="F8" s="1"/>
      <c r="G8" s="1"/>
      <c r="H8" s="1"/>
      <c r="I8" s="1"/>
      <c r="J8" s="1"/>
      <c r="K8" s="1">
        <v>1</v>
      </c>
      <c r="L8" s="1">
        <v>1</v>
      </c>
      <c r="M8" s="1"/>
      <c r="N8" s="1"/>
      <c r="O8" s="1"/>
      <c r="W8" s="7">
        <f t="shared" si="0"/>
        <v>2</v>
      </c>
      <c r="X8" s="4" t="s">
        <v>76</v>
      </c>
      <c r="Y8">
        <v>3</v>
      </c>
      <c r="Z8" t="s">
        <v>97</v>
      </c>
      <c r="AA8" t="s">
        <v>73</v>
      </c>
      <c r="AB8" t="s">
        <v>78</v>
      </c>
      <c r="AH8" t="s">
        <v>103</v>
      </c>
      <c r="AI8">
        <v>-5761.74</v>
      </c>
      <c r="AJ8">
        <v>-1665.62</v>
      </c>
      <c r="AK8">
        <v>-732.24</v>
      </c>
      <c r="AL8">
        <v>-33026.519999999997</v>
      </c>
      <c r="AM8">
        <f>-4734.02</f>
        <v>-4734.0200000000004</v>
      </c>
      <c r="AN8">
        <v>-1121.72</v>
      </c>
      <c r="AO8">
        <v>-71099.11</v>
      </c>
      <c r="AP8">
        <v>-812.55</v>
      </c>
      <c r="AQ8">
        <v>-924.81</v>
      </c>
      <c r="AR8">
        <v>-4294.53</v>
      </c>
      <c r="AS8">
        <v>-4346.7299999999996</v>
      </c>
    </row>
    <row r="9" spans="3:45" ht="16" thickBot="1" x14ac:dyDescent="0.25">
      <c r="C9" s="7" t="s">
        <v>56</v>
      </c>
      <c r="E9" s="1"/>
      <c r="F9" s="1"/>
      <c r="G9" s="1"/>
      <c r="H9" s="1"/>
      <c r="I9" s="1"/>
      <c r="J9" s="1"/>
      <c r="K9" s="1"/>
      <c r="L9" s="1"/>
      <c r="M9" s="1"/>
      <c r="N9" s="1">
        <v>1</v>
      </c>
      <c r="O9" s="1"/>
      <c r="W9" s="7">
        <f t="shared" si="0"/>
        <v>1</v>
      </c>
      <c r="X9" s="4" t="s">
        <v>76</v>
      </c>
      <c r="Y9">
        <v>4</v>
      </c>
      <c r="Z9" t="s">
        <v>82</v>
      </c>
      <c r="AA9" t="s">
        <v>81</v>
      </c>
      <c r="AB9" t="s">
        <v>88</v>
      </c>
      <c r="AH9" t="s">
        <v>99</v>
      </c>
      <c r="AI9" s="3">
        <v>4</v>
      </c>
      <c r="AJ9" s="3">
        <v>2</v>
      </c>
      <c r="AK9" s="3">
        <v>2</v>
      </c>
      <c r="AL9" s="3">
        <v>2</v>
      </c>
      <c r="AM9" s="3">
        <v>3</v>
      </c>
      <c r="AN9" s="3">
        <v>3</v>
      </c>
      <c r="AO9" s="3">
        <v>4</v>
      </c>
      <c r="AP9" s="3">
        <v>2</v>
      </c>
      <c r="AQ9" s="3">
        <v>3</v>
      </c>
      <c r="AR9" s="3">
        <v>6</v>
      </c>
      <c r="AS9" s="3">
        <v>3</v>
      </c>
    </row>
    <row r="10" spans="3:45" x14ac:dyDescent="0.2">
      <c r="C10" s="7" t="s">
        <v>3</v>
      </c>
      <c r="D10" s="1"/>
      <c r="E10" s="1">
        <v>1</v>
      </c>
      <c r="F10" s="1"/>
      <c r="G10" s="1"/>
      <c r="H10" s="1"/>
      <c r="I10" s="1">
        <v>1</v>
      </c>
      <c r="J10" s="1"/>
      <c r="K10" s="1"/>
      <c r="L10" s="1"/>
      <c r="M10" s="1"/>
      <c r="N10" s="1"/>
      <c r="O10" s="1"/>
      <c r="W10" s="7">
        <f t="shared" si="0"/>
        <v>2</v>
      </c>
      <c r="X10" t="s">
        <v>80</v>
      </c>
      <c r="Y10">
        <v>5</v>
      </c>
      <c r="Z10" t="s">
        <v>80</v>
      </c>
      <c r="AA10" t="s">
        <v>77</v>
      </c>
      <c r="AB10" t="s">
        <v>86</v>
      </c>
      <c r="AH10" t="s">
        <v>96</v>
      </c>
      <c r="AI10">
        <v>1</v>
      </c>
      <c r="AJ10">
        <v>1</v>
      </c>
      <c r="AK10">
        <v>1</v>
      </c>
      <c r="AL10">
        <v>1</v>
      </c>
      <c r="AM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3:45" x14ac:dyDescent="0.2">
      <c r="C11" s="7" t="s">
        <v>2</v>
      </c>
      <c r="D11" s="1"/>
      <c r="E11" s="1"/>
      <c r="F11" s="1">
        <v>1</v>
      </c>
      <c r="G11" s="1"/>
      <c r="H11" s="1">
        <v>1</v>
      </c>
      <c r="I11" s="1"/>
      <c r="J11" s="1"/>
      <c r="K11" s="1"/>
      <c r="L11" s="1"/>
      <c r="M11" s="1"/>
      <c r="N11" s="1"/>
      <c r="O11" s="1"/>
      <c r="W11" s="7">
        <f t="shared" si="0"/>
        <v>2</v>
      </c>
      <c r="X11" t="s">
        <v>76</v>
      </c>
      <c r="Y11">
        <v>6</v>
      </c>
      <c r="Z11" t="s">
        <v>84</v>
      </c>
      <c r="AA11" t="s">
        <v>83</v>
      </c>
      <c r="AB11" t="s">
        <v>85</v>
      </c>
      <c r="AH11" t="s">
        <v>79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3:45" ht="16" x14ac:dyDescent="0.2">
      <c r="C12" s="9" t="s">
        <v>1</v>
      </c>
      <c r="D12" s="1"/>
      <c r="E12" s="1"/>
      <c r="F12" s="1">
        <v>1</v>
      </c>
      <c r="G12" s="1"/>
      <c r="H12" s="1"/>
      <c r="I12" s="1">
        <v>1</v>
      </c>
      <c r="J12" s="1"/>
      <c r="K12" s="1">
        <v>1</v>
      </c>
      <c r="L12" s="1"/>
      <c r="M12" s="1">
        <v>1</v>
      </c>
      <c r="N12" s="1">
        <v>1</v>
      </c>
      <c r="O12" s="1"/>
      <c r="W12" s="15">
        <f t="shared" si="0"/>
        <v>5</v>
      </c>
      <c r="X12" t="s">
        <v>82</v>
      </c>
      <c r="AH12" t="s">
        <v>97</v>
      </c>
      <c r="AI12">
        <v>1</v>
      </c>
      <c r="AJ12">
        <v>1</v>
      </c>
      <c r="AM12">
        <v>1</v>
      </c>
      <c r="AN12">
        <v>1</v>
      </c>
      <c r="AO12">
        <v>1</v>
      </c>
      <c r="AP12">
        <v>1</v>
      </c>
      <c r="AR12">
        <v>1</v>
      </c>
      <c r="AS12">
        <v>1</v>
      </c>
    </row>
    <row r="13" spans="3:45" x14ac:dyDescent="0.2">
      <c r="C13" s="7" t="s">
        <v>0</v>
      </c>
      <c r="D13" s="1"/>
      <c r="E13" s="1"/>
      <c r="F13" s="1"/>
      <c r="G13" s="1"/>
      <c r="H13" s="1">
        <v>1</v>
      </c>
      <c r="I13" s="1"/>
      <c r="J13" s="1"/>
      <c r="K13" s="1"/>
      <c r="L13" s="1"/>
      <c r="M13" s="1"/>
      <c r="N13" s="1"/>
      <c r="O13" s="1"/>
      <c r="W13" s="7">
        <f t="shared" si="0"/>
        <v>1</v>
      </c>
      <c r="X13" t="s">
        <v>80</v>
      </c>
      <c r="Y13">
        <v>1</v>
      </c>
      <c r="Z13" t="s">
        <v>13</v>
      </c>
      <c r="AB13" t="s">
        <v>95</v>
      </c>
      <c r="AH13" t="s">
        <v>82</v>
      </c>
      <c r="AJ13">
        <v>1</v>
      </c>
      <c r="AK13">
        <v>1</v>
      </c>
      <c r="AM13">
        <v>1</v>
      </c>
      <c r="AO13">
        <v>1</v>
      </c>
      <c r="AP13">
        <v>1</v>
      </c>
    </row>
    <row r="14" spans="3:45" ht="16" x14ac:dyDescent="0.2">
      <c r="C14" s="9" t="s">
        <v>20</v>
      </c>
      <c r="E14" s="1"/>
      <c r="F14" s="1"/>
      <c r="G14" s="1"/>
      <c r="H14" s="1"/>
      <c r="I14" s="1"/>
      <c r="J14" s="1"/>
      <c r="K14" s="1">
        <v>1</v>
      </c>
      <c r="L14" s="1"/>
      <c r="M14" s="1">
        <v>1</v>
      </c>
      <c r="N14" s="1"/>
      <c r="O14" s="1"/>
      <c r="W14" s="7">
        <f t="shared" si="0"/>
        <v>2</v>
      </c>
      <c r="X14" t="s">
        <v>84</v>
      </c>
      <c r="Y14">
        <v>2</v>
      </c>
      <c r="Z14" t="s">
        <v>39</v>
      </c>
      <c r="AB14" t="s">
        <v>90</v>
      </c>
      <c r="AH14" t="s">
        <v>80</v>
      </c>
      <c r="AI14">
        <v>1</v>
      </c>
      <c r="AK14">
        <v>1</v>
      </c>
      <c r="AS14">
        <v>1</v>
      </c>
    </row>
    <row r="15" spans="3:45" ht="16" thickBot="1" x14ac:dyDescent="0.25">
      <c r="C15" s="7" t="s">
        <v>50</v>
      </c>
      <c r="E15" s="1"/>
      <c r="F15" s="1"/>
      <c r="G15" s="1"/>
      <c r="H15" s="1"/>
      <c r="I15" s="1"/>
      <c r="J15" s="1"/>
      <c r="K15" s="1">
        <v>1</v>
      </c>
      <c r="L15" s="1"/>
      <c r="M15" s="1"/>
      <c r="N15" s="1"/>
      <c r="O15" s="1"/>
      <c r="W15" s="7">
        <f t="shared" si="0"/>
        <v>1</v>
      </c>
      <c r="X15" s="4" t="s">
        <v>76</v>
      </c>
      <c r="Y15">
        <v>3</v>
      </c>
      <c r="Z15" t="s">
        <v>11</v>
      </c>
      <c r="AB15" t="s">
        <v>11</v>
      </c>
      <c r="AH15" t="s">
        <v>84</v>
      </c>
      <c r="AM15">
        <v>1</v>
      </c>
      <c r="AO15">
        <v>1</v>
      </c>
    </row>
    <row r="16" spans="3:45" x14ac:dyDescent="0.2">
      <c r="C16" s="11" t="s">
        <v>37</v>
      </c>
      <c r="D16" s="10"/>
      <c r="E16" s="10">
        <v>1</v>
      </c>
      <c r="F16" s="10"/>
      <c r="G16" s="10">
        <v>1</v>
      </c>
      <c r="H16" s="10">
        <v>1</v>
      </c>
      <c r="I16" s="10">
        <v>1</v>
      </c>
      <c r="J16" s="10">
        <v>1</v>
      </c>
      <c r="K16" s="10"/>
      <c r="L16" s="10">
        <v>1</v>
      </c>
      <c r="M16" s="10">
        <v>1</v>
      </c>
      <c r="N16" s="10">
        <v>1</v>
      </c>
      <c r="O16" s="10">
        <v>1</v>
      </c>
      <c r="P16" s="10"/>
      <c r="Q16" s="10"/>
      <c r="R16" s="10"/>
      <c r="S16" s="10"/>
      <c r="T16" s="10"/>
      <c r="U16" s="10"/>
      <c r="V16" s="10"/>
      <c r="W16" s="16">
        <f t="shared" si="0"/>
        <v>9</v>
      </c>
      <c r="X16" t="s">
        <v>13</v>
      </c>
      <c r="Y16">
        <v>4</v>
      </c>
      <c r="Z16" t="s">
        <v>10</v>
      </c>
      <c r="AB16" t="s">
        <v>10</v>
      </c>
      <c r="AH16" t="s">
        <v>13</v>
      </c>
      <c r="AI16">
        <v>1</v>
      </c>
      <c r="AK16">
        <v>1</v>
      </c>
      <c r="AL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3:45" x14ac:dyDescent="0.2">
      <c r="C17" s="12" t="s">
        <v>40</v>
      </c>
      <c r="E17">
        <v>1</v>
      </c>
      <c r="G17">
        <v>1</v>
      </c>
      <c r="H17">
        <v>1</v>
      </c>
      <c r="J17">
        <v>1</v>
      </c>
      <c r="L17">
        <v>1</v>
      </c>
      <c r="N17">
        <v>1</v>
      </c>
      <c r="W17" s="15">
        <f t="shared" si="0"/>
        <v>6</v>
      </c>
      <c r="X17" t="s">
        <v>39</v>
      </c>
      <c r="Y17">
        <v>5</v>
      </c>
      <c r="Z17" t="s">
        <v>98</v>
      </c>
      <c r="AB17" t="s">
        <v>92</v>
      </c>
      <c r="AH17" t="s">
        <v>39</v>
      </c>
      <c r="AI17">
        <v>1</v>
      </c>
      <c r="AJ17">
        <v>1</v>
      </c>
      <c r="AL17">
        <v>1</v>
      </c>
      <c r="AN17">
        <v>1</v>
      </c>
      <c r="AP17">
        <v>1</v>
      </c>
      <c r="AQ17">
        <v>1</v>
      </c>
      <c r="AR17">
        <v>1</v>
      </c>
      <c r="AS17">
        <v>1</v>
      </c>
    </row>
    <row r="18" spans="3:45" x14ac:dyDescent="0.2">
      <c r="C18" s="12" t="s">
        <v>41</v>
      </c>
      <c r="F18">
        <v>1</v>
      </c>
      <c r="G18">
        <v>1</v>
      </c>
      <c r="O18">
        <v>1</v>
      </c>
      <c r="W18" s="7">
        <f t="shared" si="0"/>
        <v>3</v>
      </c>
      <c r="X18" t="s">
        <v>39</v>
      </c>
      <c r="Y18">
        <v>6</v>
      </c>
      <c r="Z18" t="s">
        <v>38</v>
      </c>
      <c r="AB18" t="s">
        <v>38</v>
      </c>
      <c r="AH18" t="s">
        <v>11</v>
      </c>
      <c r="AK18">
        <v>1</v>
      </c>
      <c r="AL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3:45" x14ac:dyDescent="0.2">
      <c r="C19" s="12" t="s">
        <v>9</v>
      </c>
      <c r="G19">
        <v>1</v>
      </c>
      <c r="N19">
        <v>1</v>
      </c>
      <c r="O19">
        <v>1</v>
      </c>
      <c r="W19" s="7">
        <f t="shared" si="0"/>
        <v>3</v>
      </c>
      <c r="Y19">
        <v>7</v>
      </c>
      <c r="Z19" t="s">
        <v>9</v>
      </c>
      <c r="AB19" t="s">
        <v>93</v>
      </c>
      <c r="AH19" t="s">
        <v>10</v>
      </c>
      <c r="AJ19">
        <v>1</v>
      </c>
      <c r="AK19">
        <v>1</v>
      </c>
      <c r="AL19">
        <v>1</v>
      </c>
      <c r="AM19">
        <v>1</v>
      </c>
      <c r="AO19">
        <v>1</v>
      </c>
      <c r="AR19">
        <v>1</v>
      </c>
      <c r="AS19">
        <v>1</v>
      </c>
    </row>
    <row r="20" spans="3:45" x14ac:dyDescent="0.2">
      <c r="C20" s="12" t="s">
        <v>11</v>
      </c>
      <c r="G20">
        <v>1</v>
      </c>
      <c r="H20">
        <v>1</v>
      </c>
      <c r="I20">
        <v>1</v>
      </c>
      <c r="J20">
        <v>1</v>
      </c>
      <c r="M20">
        <v>1</v>
      </c>
      <c r="N20">
        <v>1</v>
      </c>
      <c r="O20">
        <v>1</v>
      </c>
      <c r="W20" s="15">
        <f t="shared" si="0"/>
        <v>7</v>
      </c>
      <c r="X20" t="s">
        <v>11</v>
      </c>
      <c r="AH20" t="s">
        <v>98</v>
      </c>
      <c r="AJ20">
        <v>1</v>
      </c>
      <c r="AO20">
        <v>1</v>
      </c>
      <c r="AP20">
        <v>1</v>
      </c>
      <c r="AR20">
        <v>1</v>
      </c>
    </row>
    <row r="21" spans="3:45" x14ac:dyDescent="0.2">
      <c r="C21" s="12" t="s">
        <v>46</v>
      </c>
      <c r="G21">
        <v>1</v>
      </c>
      <c r="I21">
        <v>1</v>
      </c>
      <c r="L21">
        <v>1</v>
      </c>
      <c r="W21" s="7">
        <f t="shared" si="0"/>
        <v>3</v>
      </c>
      <c r="AH21" t="s">
        <v>38</v>
      </c>
      <c r="AI21">
        <v>1</v>
      </c>
      <c r="AJ21">
        <v>1</v>
      </c>
      <c r="AS21">
        <v>1</v>
      </c>
    </row>
    <row r="22" spans="3:45" x14ac:dyDescent="0.2">
      <c r="C22" s="12" t="s">
        <v>45</v>
      </c>
      <c r="G22">
        <v>1</v>
      </c>
      <c r="I22">
        <v>1</v>
      </c>
      <c r="N22">
        <v>1</v>
      </c>
      <c r="W22" s="7">
        <f t="shared" si="0"/>
        <v>3</v>
      </c>
      <c r="AH22" t="s">
        <v>9</v>
      </c>
      <c r="AK22">
        <v>1</v>
      </c>
      <c r="AP22">
        <v>1</v>
      </c>
      <c r="AQ22">
        <v>1</v>
      </c>
      <c r="AR22">
        <v>1</v>
      </c>
    </row>
    <row r="23" spans="3:45" ht="48" x14ac:dyDescent="0.2">
      <c r="C23" s="13" t="s">
        <v>60</v>
      </c>
      <c r="F23">
        <v>1</v>
      </c>
      <c r="G23">
        <v>1</v>
      </c>
      <c r="M23">
        <v>1</v>
      </c>
      <c r="N23">
        <v>1</v>
      </c>
      <c r="W23" s="15">
        <f t="shared" si="0"/>
        <v>4</v>
      </c>
      <c r="X23" t="s">
        <v>91</v>
      </c>
    </row>
    <row r="24" spans="3:45" ht="32" x14ac:dyDescent="0.2">
      <c r="C24" s="13" t="s">
        <v>59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W24" s="15">
        <f t="shared" si="0"/>
        <v>7</v>
      </c>
      <c r="X24" t="s">
        <v>10</v>
      </c>
    </row>
    <row r="25" spans="3:45" ht="32" x14ac:dyDescent="0.2">
      <c r="C25" s="13" t="s">
        <v>47</v>
      </c>
      <c r="E25">
        <v>1</v>
      </c>
      <c r="F25">
        <v>1</v>
      </c>
      <c r="H25">
        <v>1</v>
      </c>
      <c r="W25" s="17">
        <f t="shared" si="0"/>
        <v>3</v>
      </c>
      <c r="X25" t="s">
        <v>38</v>
      </c>
    </row>
    <row r="26" spans="3:45" x14ac:dyDescent="0.2">
      <c r="C26" s="12" t="s">
        <v>42</v>
      </c>
      <c r="F26">
        <v>1</v>
      </c>
      <c r="W26" s="7">
        <f t="shared" si="0"/>
        <v>1</v>
      </c>
      <c r="X26" t="s">
        <v>10</v>
      </c>
    </row>
    <row r="27" spans="3:45" x14ac:dyDescent="0.2">
      <c r="C27" s="12" t="s">
        <v>43</v>
      </c>
      <c r="F27">
        <v>1</v>
      </c>
      <c r="W27" s="7">
        <f t="shared" si="0"/>
        <v>1</v>
      </c>
      <c r="X27" t="s">
        <v>10</v>
      </c>
    </row>
    <row r="28" spans="3:45" x14ac:dyDescent="0.2">
      <c r="C28" s="12" t="s">
        <v>44</v>
      </c>
      <c r="F28">
        <v>1</v>
      </c>
      <c r="W28" s="7">
        <f t="shared" si="0"/>
        <v>1</v>
      </c>
      <c r="X28" t="s">
        <v>10</v>
      </c>
    </row>
    <row r="29" spans="3:45" x14ac:dyDescent="0.2">
      <c r="C29" s="12" t="s">
        <v>48</v>
      </c>
      <c r="H29">
        <v>1</v>
      </c>
      <c r="W29" s="7">
        <f t="shared" si="0"/>
        <v>1</v>
      </c>
    </row>
    <row r="30" spans="3:45" x14ac:dyDescent="0.2">
      <c r="C30" s="12" t="s">
        <v>12</v>
      </c>
      <c r="H30">
        <v>1</v>
      </c>
      <c r="K30">
        <v>1</v>
      </c>
      <c r="W30" s="7">
        <f t="shared" si="0"/>
        <v>2</v>
      </c>
    </row>
    <row r="31" spans="3:45" ht="32" x14ac:dyDescent="0.2">
      <c r="C31" s="13" t="s">
        <v>58</v>
      </c>
      <c r="H31">
        <v>1</v>
      </c>
      <c r="N31">
        <v>1</v>
      </c>
      <c r="W31" s="7">
        <f t="shared" si="0"/>
        <v>2</v>
      </c>
    </row>
    <row r="32" spans="3:45" ht="32" x14ac:dyDescent="0.2">
      <c r="C32" s="13" t="s">
        <v>51</v>
      </c>
      <c r="I32">
        <v>1</v>
      </c>
      <c r="K32">
        <v>1</v>
      </c>
      <c r="W32" s="7">
        <f t="shared" si="0"/>
        <v>2</v>
      </c>
    </row>
    <row r="33" spans="3:23" x14ac:dyDescent="0.2">
      <c r="C33" s="12" t="s">
        <v>52</v>
      </c>
      <c r="K33">
        <v>1</v>
      </c>
      <c r="W33" s="7">
        <f t="shared" si="0"/>
        <v>1</v>
      </c>
    </row>
    <row r="34" spans="3:23" x14ac:dyDescent="0.2">
      <c r="C34" s="12" t="s">
        <v>53</v>
      </c>
      <c r="K34">
        <v>1</v>
      </c>
      <c r="W34" s="7">
        <f t="shared" si="0"/>
        <v>1</v>
      </c>
    </row>
    <row r="35" spans="3:23" x14ac:dyDescent="0.2">
      <c r="C35" s="12" t="s">
        <v>54</v>
      </c>
      <c r="L35">
        <v>1</v>
      </c>
      <c r="W35" s="7">
        <f t="shared" si="0"/>
        <v>1</v>
      </c>
    </row>
    <row r="36" spans="3:23" x14ac:dyDescent="0.2">
      <c r="C36" s="12" t="s">
        <v>55</v>
      </c>
      <c r="M36">
        <v>1</v>
      </c>
      <c r="W36" s="7">
        <f t="shared" si="0"/>
        <v>1</v>
      </c>
    </row>
    <row r="37" spans="3:23" x14ac:dyDescent="0.2">
      <c r="C37" s="12" t="s">
        <v>57</v>
      </c>
      <c r="N37">
        <v>1</v>
      </c>
      <c r="W37" s="7">
        <f t="shared" si="0"/>
        <v>1</v>
      </c>
    </row>
    <row r="38" spans="3:23" ht="16" thickBot="1" x14ac:dyDescent="0.25">
      <c r="C38" s="14" t="s">
        <v>61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</v>
      </c>
      <c r="P38" s="5"/>
      <c r="Q38" s="5"/>
      <c r="R38" s="5"/>
      <c r="S38" s="5"/>
      <c r="T38" s="5"/>
      <c r="U38" s="5"/>
      <c r="V38" s="5"/>
      <c r="W38" s="8">
        <f t="shared" si="0"/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Nova</cp:lastModifiedBy>
  <dcterms:created xsi:type="dcterms:W3CDTF">2025-11-03T14:34:58Z</dcterms:created>
  <dcterms:modified xsi:type="dcterms:W3CDTF">2026-07-05T11:04:41Z</dcterms:modified>
</cp:coreProperties>
</file>